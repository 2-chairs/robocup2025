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626"/>
  <workbookPr/>
  <mc:AlternateContent xmlns:mc="http://schemas.openxmlformats.org/markup-compatibility/2006">
    <mc:Choice Requires="x15">
      <x15ac:absPath xmlns:x15ac="http://schemas.microsoft.com/office/spreadsheetml/2010/11/ac" url="https://d.docs.live.net/c3206a4c991270b9/Documents/Robotics/robocup2025/Mechanical/"/>
    </mc:Choice>
  </mc:AlternateContent>
  <xr:revisionPtr revIDLastSave="97" documentId="11_F25DC773A252ABDACC1048CE591F5D225BDE58EF" xr6:coauthVersionLast="47" xr6:coauthVersionMax="47" xr10:uidLastSave="{1CB66825-63C5-414E-9B37-FC9DA341E138}"/>
  <bookViews>
    <workbookView minimized="1" xWindow="3945" yWindow="4185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" l="1"/>
  <c r="L4" i="1"/>
  <c r="G4" i="1"/>
  <c r="J4" i="1"/>
  <c r="J3" i="1"/>
  <c r="L3" i="1"/>
</calcChain>
</file>

<file path=xl/sharedStrings.xml><?xml version="1.0" encoding="utf-8"?>
<sst xmlns="http://schemas.openxmlformats.org/spreadsheetml/2006/main" count="34" uniqueCount="34">
  <si>
    <t xml:space="preserve">Parts list </t>
  </si>
  <si>
    <t xml:space="preserve">Part type </t>
  </si>
  <si>
    <t xml:space="preserve">Specification </t>
  </si>
  <si>
    <t xml:space="preserve">Material </t>
  </si>
  <si>
    <t xml:space="preserve">Manufactoring method </t>
  </si>
  <si>
    <t xml:space="preserve">About </t>
  </si>
  <si>
    <t xml:space="preserve">O Rings </t>
  </si>
  <si>
    <t xml:space="preserve">Price/buying qty </t>
  </si>
  <si>
    <t xml:space="preserve">Price/single qty </t>
  </si>
  <si>
    <t xml:space="preserve">buying qty </t>
  </si>
  <si>
    <t xml:space="preserve">Total price </t>
  </si>
  <si>
    <t xml:space="preserve">Buying link </t>
  </si>
  <si>
    <t xml:space="preserve">o rings as tyres for moniwheel rollers </t>
  </si>
  <si>
    <t>https://sg.rs-online.com/web/p/gaskets-o-rings/0128811?gb=s</t>
  </si>
  <si>
    <t xml:space="preserve">v cool </t>
  </si>
  <si>
    <t xml:space="preserve">nitrile rubber </t>
  </si>
  <si>
    <t xml:space="preserve">idk just buying it </t>
  </si>
  <si>
    <t xml:space="preserve">Dimensions/mm (If applicable) </t>
  </si>
  <si>
    <t>OD: 9.3, ID: 6.1, Thickness: 1.6</t>
  </si>
  <si>
    <t xml:space="preserve">buying qty/bag </t>
  </si>
  <si>
    <t xml:space="preserve">qty needed </t>
  </si>
  <si>
    <t xml:space="preserve">Pin to act as axel for omniwheel rollers </t>
  </si>
  <si>
    <t xml:space="preserve">who cares </t>
  </si>
  <si>
    <t xml:space="preserve">304 Stainless Steel </t>
  </si>
  <si>
    <t xml:space="preserve">not my problem </t>
  </si>
  <si>
    <t xml:space="preserve">Diameter: 2, Length: 6 </t>
  </si>
  <si>
    <t>https://www.lazada.sg/products/nindejin-5-50pcs-dowel-pins-304-stainless-steel-m2-m25-m3-m4-m5-m6-parallel-pins-fastener-solid-cylinder-pin-gb119-i1940710543-s10384975265.html</t>
  </si>
  <si>
    <t xml:space="preserve">Motors </t>
  </si>
  <si>
    <t xml:space="preserve">Dowel Pins </t>
  </si>
  <si>
    <t>Chihai motors (CHR-GM25-370)</t>
  </si>
  <si>
    <t xml:space="preserve">driving motors duh? </t>
  </si>
  <si>
    <t xml:space="preserve">not our problem proably metals n stuff </t>
  </si>
  <si>
    <t xml:space="preserve">actually though whats this column for </t>
  </si>
  <si>
    <t>https://www.aliexpress.com/item/4000981259486.html?spm=a2g0o.productlist.main.1.4d81Jfh7Jfh7g8&amp;algo_pvid=d3d64a0f-c58b-4233-a501-af942b7f4b1d&amp;utparam-url=scene%3Asearch%7Cquery_from%3A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</si>
</sst>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"/>
  <sheetViews>
    <sheetView tabSelected="1" topLeftCell="E1" workbookViewId="0">
      <selection activeCell="M9" sqref="M9"/>
    </sheetView>
  </sheetViews>
  <sheetFormatPr defaultRowHeight="15" x14ac:dyDescent="0.25"/>
  <cols>
    <col min="1" max="1" width="11.28515625" bestFit="1" customWidth="1"/>
    <col min="2" max="2" width="36.5703125" bestFit="1" customWidth="1"/>
    <col min="3" max="3" width="28.7109375" bestFit="1" customWidth="1"/>
    <col min="4" max="4" width="36.42578125" bestFit="1" customWidth="1"/>
    <col min="5" max="5" width="35.28515625" bestFit="1" customWidth="1"/>
    <col min="6" max="6" width="29.42578125" bestFit="1" customWidth="1"/>
    <col min="7" max="8" width="16.140625" bestFit="1" customWidth="1"/>
    <col min="9" max="9" width="16.140625" customWidth="1"/>
    <col min="10" max="10" width="15.85546875" bestFit="1" customWidth="1"/>
    <col min="11" max="11" width="15.85546875" customWidth="1"/>
    <col min="12" max="12" width="10.7109375" bestFit="1" customWidth="1"/>
    <col min="13" max="13" width="11.140625" bestFit="1" customWidth="1"/>
  </cols>
  <sheetData>
    <row r="1" spans="1:13" x14ac:dyDescent="0.25">
      <c r="A1" t="s">
        <v>0</v>
      </c>
    </row>
    <row r="2" spans="1:13" x14ac:dyDescent="0.25">
      <c r="A2" t="s">
        <v>1</v>
      </c>
      <c r="B2" t="s">
        <v>5</v>
      </c>
      <c r="C2" t="s">
        <v>2</v>
      </c>
      <c r="D2" t="s">
        <v>3</v>
      </c>
      <c r="E2" t="s">
        <v>4</v>
      </c>
      <c r="F2" t="s">
        <v>17</v>
      </c>
      <c r="G2" t="s">
        <v>8</v>
      </c>
      <c r="H2" t="s">
        <v>7</v>
      </c>
      <c r="I2" t="s">
        <v>19</v>
      </c>
      <c r="J2" t="s">
        <v>20</v>
      </c>
      <c r="K2" t="s">
        <v>9</v>
      </c>
      <c r="L2" t="s">
        <v>10</v>
      </c>
      <c r="M2" t="s">
        <v>11</v>
      </c>
    </row>
    <row r="3" spans="1:13" x14ac:dyDescent="0.25">
      <c r="A3" t="s">
        <v>6</v>
      </c>
      <c r="B3" t="s">
        <v>12</v>
      </c>
      <c r="C3" t="s">
        <v>14</v>
      </c>
      <c r="D3" t="s">
        <v>15</v>
      </c>
      <c r="E3" t="s">
        <v>16</v>
      </c>
      <c r="F3" t="s">
        <v>18</v>
      </c>
      <c r="G3">
        <v>0.121</v>
      </c>
      <c r="H3">
        <v>6.07</v>
      </c>
      <c r="I3">
        <v>50</v>
      </c>
      <c r="J3">
        <f>20*2*9</f>
        <v>360</v>
      </c>
      <c r="K3">
        <v>8</v>
      </c>
      <c r="L3">
        <f>K3*H3</f>
        <v>48.56</v>
      </c>
      <c r="M3" t="s">
        <v>13</v>
      </c>
    </row>
    <row r="4" spans="1:13" x14ac:dyDescent="0.25">
      <c r="A4" t="s">
        <v>28</v>
      </c>
      <c r="B4" t="s">
        <v>21</v>
      </c>
      <c r="C4" t="s">
        <v>22</v>
      </c>
      <c r="D4" t="s">
        <v>23</v>
      </c>
      <c r="E4" t="s">
        <v>24</v>
      </c>
      <c r="F4" t="s">
        <v>25</v>
      </c>
      <c r="G4">
        <f>H4/I4</f>
        <v>0.06</v>
      </c>
      <c r="H4">
        <v>3</v>
      </c>
      <c r="I4">
        <v>50</v>
      </c>
      <c r="J4">
        <f>J3</f>
        <v>360</v>
      </c>
      <c r="K4">
        <v>8</v>
      </c>
      <c r="L4">
        <f>H4*K4</f>
        <v>24</v>
      </c>
      <c r="M4" t="s">
        <v>26</v>
      </c>
    </row>
    <row r="5" spans="1:13" x14ac:dyDescent="0.25">
      <c r="A5" t="s">
        <v>27</v>
      </c>
      <c r="B5" t="s">
        <v>30</v>
      </c>
      <c r="C5" t="s">
        <v>29</v>
      </c>
      <c r="D5" t="s">
        <v>31</v>
      </c>
      <c r="E5" t="s">
        <v>32</v>
      </c>
      <c r="G5">
        <v>12.08</v>
      </c>
      <c r="H5">
        <v>12.08</v>
      </c>
      <c r="I5">
        <v>1</v>
      </c>
      <c r="J5">
        <v>9</v>
      </c>
      <c r="K5">
        <v>9</v>
      </c>
      <c r="L5">
        <f>J5*H5</f>
        <v>108.72</v>
      </c>
      <c r="M5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Chen-Xuan Ng</dc:creator>
  <cp:lastModifiedBy>Chen-Xuan Ng</cp:lastModifiedBy>
  <dcterms:created xsi:type="dcterms:W3CDTF">2015-06-05T18:17:20Z</dcterms:created>
  <dcterms:modified xsi:type="dcterms:W3CDTF">2024-11-23T07:07:05Z</dcterms:modified>
</cp:coreProperties>
</file>